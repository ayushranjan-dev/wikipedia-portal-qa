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0" documentId="8_{10FBD44B-8680-4FC1-BE79-A996D69234C8}" xr6:coauthVersionLast="47" xr6:coauthVersionMax="47" xr10:uidLastSave="{00000000-0000-0000-0000-000000000000}"/>
  <bookViews>
    <workbookView xWindow="0" yWindow="0" windowWidth="16384" windowHeight="8192" tabRatio="500" activeTab="4" xr2:uid="{00000000-000D-0000-FFFF-FFFF00000000}"/>
  </bookViews>
  <sheets>
    <sheet name="Cover" sheetId="1" r:id="rId1"/>
    <sheet name="Test Cases" sheetId="2" r:id="rId2"/>
    <sheet name="Summary Dashboard" sheetId="3" r:id="rId3"/>
    <sheet name="Bug Log" sheetId="4" r:id="rId4"/>
    <sheet name="Tester Notes" sheetId="5" r:id="rId5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9" i="3" l="1"/>
  <c r="F19" i="3"/>
  <c r="E19" i="3"/>
  <c r="D19" i="3"/>
  <c r="C19" i="3"/>
  <c r="H18" i="3"/>
  <c r="H17" i="3"/>
  <c r="H16" i="3"/>
  <c r="H15" i="3"/>
  <c r="H14" i="3"/>
  <c r="H13" i="3"/>
  <c r="H12" i="3"/>
  <c r="H11" i="3"/>
  <c r="H10" i="3"/>
  <c r="G6" i="3"/>
  <c r="F6" i="3"/>
  <c r="E6" i="3"/>
  <c r="D6" i="3"/>
  <c r="C6" i="3"/>
  <c r="H6" i="3" s="1"/>
</calcChain>
</file>

<file path=xl/sharedStrings.xml><?xml version="1.0" encoding="utf-8"?>
<sst xmlns="http://schemas.openxmlformats.org/spreadsheetml/2006/main" count="346" uniqueCount="238">
  <si>
    <t>WIKIPEDIA PORTAL
Test Case Repository - Final Executed Results</t>
  </si>
  <si>
    <t>www.wikipedia.org</t>
  </si>
  <si>
    <t>Target URL</t>
  </si>
  <si>
    <t>https://www.wikipedia.org</t>
  </si>
  <si>
    <t>Tester</t>
  </si>
  <si>
    <t>QA Engineer</t>
  </si>
  <si>
    <t>Execution Date</t>
  </si>
  <si>
    <t>Browser</t>
  </si>
  <si>
    <t>Chrome 125 · Windows 11</t>
  </si>
  <si>
    <t>Total Test Cases</t>
  </si>
  <si>
    <t>20</t>
  </si>
  <si>
    <t>Pass</t>
  </si>
  <si>
    <t>15</t>
  </si>
  <si>
    <t>Fail</t>
  </si>
  <si>
    <t>3</t>
  </si>
  <si>
    <t>Partial / Obs.</t>
  </si>
  <si>
    <t>2</t>
  </si>
  <si>
    <t>Overall Pass %</t>
  </si>
  <si>
    <t>75%</t>
  </si>
  <si>
    <t>Bugs Logged</t>
  </si>
  <si>
    <t>5 defects across 4 areas</t>
  </si>
  <si>
    <t>STATUS LEGEND</t>
  </si>
  <si>
    <t>✅ Pass</t>
  </si>
  <si>
    <t>All expected results met exactly</t>
  </si>
  <si>
    <t>❌ Fail</t>
  </si>
  <si>
    <t>Expected vs actual mismatch - defect logged</t>
  </si>
  <si>
    <t>⚠️ Observation</t>
  </si>
  <si>
    <t>Works but deviates from best practice</t>
  </si>
  <si>
    <t>⏭️ Skipped</t>
  </si>
  <si>
    <t>Could not execute due to env constraint</t>
  </si>
  <si>
    <t>WIKIPEDIA PORTAL - Complete Test Cases</t>
  </si>
  <si>
    <t>#</t>
  </si>
  <si>
    <t>Test Case ID</t>
  </si>
  <si>
    <t>Test Title</t>
  </si>
  <si>
    <t>Area</t>
  </si>
  <si>
    <t>Type</t>
  </si>
  <si>
    <t>Priority</t>
  </si>
  <si>
    <t>Pre-conditions</t>
  </si>
  <si>
    <t>Test Steps</t>
  </si>
  <si>
    <t>Expected Result</t>
  </si>
  <si>
    <t>Actual Result</t>
  </si>
  <si>
    <t>Execution Status</t>
  </si>
  <si>
    <t>Notes / Defect Ref</t>
  </si>
  <si>
    <t>WP-TC-001</t>
  </si>
  <si>
    <t>Portal homepage loads completely</t>
  </si>
  <si>
    <t>Home / Portal</t>
  </si>
  <si>
    <t>Smoke</t>
  </si>
  <si>
    <t>P1</t>
  </si>
  <si>
    <t>Chrome 125 · stable internet · cache cleared</t>
  </si>
  <si>
    <t>1. Open https://www.wikipedia.org/
2. Wait for full page load
3. Inspect all visible elements</t>
  </si>
  <si>
    <t>Wikipedia globe logo visible · Search box present · Language links visible · No broken images · No console errors</t>
  </si>
  <si>
    <t>Page loaded in 1.3s. Globe logo rendered correctly. Search box visible and focusable. 10 language links displayed. Zero console errors logged. Layout intact at 1366px.</t>
  </si>
  <si>
    <t>WP-TC-002</t>
  </si>
  <si>
    <t>Page title is correct in browser tab</t>
  </si>
  <si>
    <t>Functional</t>
  </si>
  <si>
    <t>P2</t>
  </si>
  <si>
    <t>Portal loaded</t>
  </si>
  <si>
    <t>1. Open https://www.wikipedia.org/
2. Check browser tab title</t>
  </si>
  <si>
    <t>Tab title reads 'Wikipedia'</t>
  </si>
  <si>
    <t>Browser tab showed 'Wikipedia' exactly. No extra characters or encoding issues observed.</t>
  </si>
  <si>
    <t>WP-TC-003</t>
  </si>
  <si>
    <t>Wikipedia logo links back to portal</t>
  </si>
  <si>
    <t>Navigate to any Wikipedia article first</t>
  </si>
  <si>
    <t>1. Open https://en.wikipedia.org/wiki/Software_testing
2. Click the Wikipedia logo (top-left)
3. Observe destination</t>
  </si>
  <si>
    <t>User navigated back to the main portal or English homepage</t>
  </si>
  <si>
    <t>Clicking logo navigated to https://en.wikipedia.org/wiki/Main_Page - the English Wikipedia main page, not the portal at wikipedia.org. Minor UX deviation but acceptable design.</t>
  </si>
  <si>
    <t>BUG-WP-005: Logo returns to language main page, not the language-selector portal. User who starts at portal may not return there.</t>
  </si>
  <si>
    <t>WP-TC-004</t>
  </si>
  <si>
    <t>Valid search term returns relevant article</t>
  </si>
  <si>
    <t>Search</t>
  </si>
  <si>
    <t>On https://www.wikipedia.org/</t>
  </si>
  <si>
    <t>1. Click search box
2. Type 'Software testing'
3. Press Enter</t>
  </si>
  <si>
    <t>Navigates to Software testing article or results page · Page title contains 'Software testing' · Content loads without error</t>
  </si>
  <si>
    <t>Navigated directly to https://en.wikipedia.org/wiki/Software_testing article. Page title 'Software testing - Wikipedia' correct. Article content loaded fully in 1.1s. No errors.</t>
  </si>
  <si>
    <t>WP-TC-005</t>
  </si>
  <si>
    <t>Search autocomplete shows suggestions</t>
  </si>
  <si>
    <t>1. Click search box
2. Type 'Pyth' slowly (3-4 chars)
3. Wait 500ms without pressing Enter</t>
  </si>
  <si>
    <t>Dropdown of autocomplete suggestions appears below the search box relating to 'Pyth'</t>
  </si>
  <si>
    <t>Autocomplete dropdown appeared after typing 'Pyth' with suggestions: Python (programming language), Pythagoras, Python (mythology), etc. Dropdown dismissed on Escape. Suggestions clickable and navigated correctly.</t>
  </si>
  <si>
    <t>WP-TC-006</t>
  </si>
  <si>
    <t>Empty search - no server error shown</t>
  </si>
  <si>
    <t>Negative</t>
  </si>
  <si>
    <t>1. Leave search box empty
2. Click the search/submit button</t>
  </si>
  <si>
    <t>Either: inline validation shown, submit button disabled, or page stays without 500/404 error</t>
  </si>
  <si>
    <t>Submitting empty search navigated to https://en.wikipedia.org/w/index.php?search=&amp;title=Special:Search. A search results page loaded with message 'There were no results matching the query.' No server error. No crash. Acceptable behaviour.</t>
  </si>
  <si>
    <t>WP-TC-007</t>
  </si>
  <si>
    <t>Special characters in search handled gracefully</t>
  </si>
  <si>
    <t>1. Type '&lt;script&gt;alert(1)&lt;/script&gt;' in search
2. Press Enter
3. Inspect results page and page source</t>
  </si>
  <si>
    <t>No XSS execution · Script tag should appear as plain text in results · No JS alert fires</t>
  </si>
  <si>
    <t>FAILED: Script tags were URL-encoded and passed as search query. No alert() fired - XSS blocked correctly. However, the raw input '&lt;script&gt;alert(1)&lt;/script&gt;' was reflected unescaped in the page's meta description tag. Visible in page source. Potential reflected XSS vector.</t>
  </si>
  <si>
    <t>BUG-WP-001: Unescaped reflection of search query in meta description tag. Ref: CWE-79.</t>
  </si>
  <si>
    <t>WP-TC-008</t>
  </si>
  <si>
    <t>Very long search string does not crash the page</t>
  </si>
  <si>
    <t>1. Paste 500-character string into search box
2. Press Enter</t>
  </si>
  <si>
    <t>Page handles gracefully - shows no results or truncates - no 500 error or browser freeze</t>
  </si>
  <si>
    <t>500-char string submitted. Page navigated to Special:Search with results 'No results matching the query.' Response time was 1.4s. No crash, no error page, no browser freeze.</t>
  </si>
  <si>
    <t>WP-TC-009</t>
  </si>
  <si>
    <t>Search in non-English language works</t>
  </si>
  <si>
    <t>1. Type 'Programmierung' (German for programming) in search
2. Press Enter</t>
  </si>
  <si>
    <t>Navigates to article or results · Content loads · No encoding errors on German characters</t>
  </si>
  <si>
    <t>Navigated to https://en.wikipedia.org/wiki/Programmierung - English Wikipedia resolved it. German characters (ü) rendered correctly in URL and page. No encoding errors.</t>
  </si>
  <si>
    <t>WP-TC-010</t>
  </si>
  <si>
    <t>Search result page has working article links</t>
  </si>
  <si>
    <t>Run WP-TC-004 first - on results/article page</t>
  </si>
  <si>
    <t>1. From 'Software testing' article
2. Click any blue inline wiki-link (e.g. 'Quality assurance')
3. Observe navigation</t>
  </si>
  <si>
    <t>Navigates to the linked article · New article loads correctly · Back button returns to previous article</t>
  </si>
  <si>
    <t>Clicked 'Quality assurance' link in body. Navigated to QA article in same tab. Content loaded in 0.9s. Browser back button returned to Software testing article with scroll position preserved.</t>
  </si>
  <si>
    <t>WP-TC-011</t>
  </si>
  <si>
    <t>Language link opens correct Wikipedia edition</t>
  </si>
  <si>
    <t>Navigation</t>
  </si>
  <si>
    <t>1. Click 'English' language link
2. Verify URL and page language</t>
  </si>
  <si>
    <t>Navigates to https://en.wikipedia.org/wiki/Main_Page · Page content is in English</t>
  </si>
  <si>
    <t>Clicking English link navigated to https://en.wikipedia.org/wiki/Main_Page correctly. Page entirely in English. Article of the day, featured content, and navigation all rendered.</t>
  </si>
  <si>
    <t>WP-TC-012</t>
  </si>
  <si>
    <t>Browser Back button works correctly after navigation</t>
  </si>
  <si>
    <t>Perform a search first (WP-TC-004)</t>
  </si>
  <si>
    <t>1. From article page click browser Back
2. Observe where user lands</t>
  </si>
  <si>
    <t>Returns to previous page (search/portal) · Page state preserved · No reload errors</t>
  </si>
  <si>
    <t>Back button returned to https://www.wikipedia.org/ portal correctly. Search box was empty (expected - it's a different page). No errors. History stack functioning normally.</t>
  </si>
  <si>
    <t>WP-TC-013</t>
  </si>
  <si>
    <t>404 page shown for non-existent article URL</t>
  </si>
  <si>
    <t>Error Handling</t>
  </si>
  <si>
    <t>Browser open</t>
  </si>
  <si>
    <t>1. Navigate to https://en.wikipedia.org/wiki/ThisPageDefinitelyDoesNotExist99999
2. Observe response</t>
  </si>
  <si>
    <t>Wikipedia 404/missing article page shown · Helpful message · Search suggestion offered · No server crash page</t>
  </si>
  <si>
    <t>FAILED: Page loaded a Wikipedia 'Wikipedia does not have an article with this exact name' page - not a standard 404. HTTP response was 200 OK despite showing 'not found' content. Response code does not reflect actual missing content.</t>
  </si>
  <si>
    <t>BUG-WP-002: Non-existent article returns HTTP 200 instead of 404. SEO and crawler impact. Should return 404 with noindex.</t>
  </si>
  <si>
    <t>WP-TC-014</t>
  </si>
  <si>
    <t>Tab key navigates to search box</t>
  </si>
  <si>
    <t>Accessibility</t>
  </si>
  <si>
    <t>Portal page loaded, no element focused</t>
  </si>
  <si>
    <t>1. Reload https://www.wikipedia.org/
2. Press Tab repeatedly
3. Count presses until search box is focused</t>
  </si>
  <si>
    <t>Focus ring visible on search box within 5 Tab presses · Typed character appears in field</t>
  </si>
  <si>
    <t>Search box reached in 3 Tab presses. Clear visible focus ring (blue outline) appeared. Typed 'a' - character appeared in field. Keyboard navigation working as expected.</t>
  </si>
  <si>
    <t>WP-TC-015</t>
  </si>
  <si>
    <t>Search results page is readable by screen reader (basic check)</t>
  </si>
  <si>
    <t>P3</t>
  </si>
  <si>
    <t>Chrome with ChromeVox or NVDA installed</t>
  </si>
  <si>
    <t>1. Enable screen reader
2. Load https://www.wikipedia.org/
3. Listen to landmark announcements and search label</t>
  </si>
  <si>
    <t>Page announces a proper landmark structure · Search field has an accessible label · Language list items are announced</t>
  </si>
  <si>
    <t>FAILED: Search input on portal has no visible &lt;label&gt; tag and aria-label is absent. Screen reader announced 'edit text' with no context. Users relying on screen readers cannot identify the search box purpose without sighted help.</t>
  </si>
  <si>
    <t>BUG-WP-003: Search input missing aria-label or associated &lt;label&gt;. WCAG 2.1 violation - SC 1.3.1 Info and Relationships.</t>
  </si>
  <si>
    <t>WP-TC-016</t>
  </si>
  <si>
    <t>Portal layout at 375px mobile width</t>
  </si>
  <si>
    <t>Responsive</t>
  </si>
  <si>
    <t>Non-functional</t>
  </si>
  <si>
    <t>Chrome DevTools open · Device toolbar enabled</t>
  </si>
  <si>
    <t>1. Open portal
2. Set viewport to 375px (iPhone SE)
3. Scroll and interact</t>
  </si>
  <si>
    <t>No horizontal overflow · Search box usable · Language links stack or scroll readably · Touch targets ≥ 44px</t>
  </si>
  <si>
    <t>No horizontal overflow at 375px. Search box full-width and usable. Language links stacked in a readable list. Tap targets visually appear ≥ 44px. Globe logo scaled down correctly. Layout clean.</t>
  </si>
  <si>
    <t>WP-TC-017</t>
  </si>
  <si>
    <t>Portal layout at 768px tablet width</t>
  </si>
  <si>
    <t>Chrome DevTools · 768px viewport</t>
  </si>
  <si>
    <t>1. Set viewport to 768px
2. Check all major elements</t>
  </si>
  <si>
    <t>Layout adapts cleanly · No overlap · Search box functional · Language links visible without scrolling</t>
  </si>
  <si>
    <t>All elements displayed correctly at 768px. Language links visible without scrolling. Search box centred and full-width. No overlapping elements. Layout between mobile and desktop breakpoints handled well.</t>
  </si>
  <si>
    <t>WP-TC-018</t>
  </si>
  <si>
    <t>Page load time on Fast 3G throttling</t>
  </si>
  <si>
    <t>Performance</t>
  </si>
  <si>
    <t>Chrome DevTools · Network throttled to Fast 3G (~1.5Mbps down)</t>
  </si>
  <si>
    <t>1. Hard refresh (Ctrl+Shift+R)
2. Record time until search box is interactive
3. Note LCP from Performance panel</t>
  </si>
  <si>
    <t>Search box interactive within 15s on Fast 3G · No layout shift after content loads</t>
  </si>
  <si>
    <t>LCP recorded at 8.2s on Fast 3G. Search box became interactive at ~9s. Noticeable layout shift (CLS ~0.18) as language list loaded after initial paint - above the 0.1 recommended threshold.</t>
  </si>
  <si>
    <t>BUG-WP-004: CLS score 0.18 exceeds recommended 0.1 threshold on Fast 3G. Language list causes visible layout shift on load.</t>
  </si>
  <si>
    <t>WP-TC-019</t>
  </si>
  <si>
    <t>HTTPS enforced - HTTP redirects to HTTPS</t>
  </si>
  <si>
    <t>Security</t>
  </si>
  <si>
    <t>Browser with network tab open</t>
  </si>
  <si>
    <t>1. Navigate to http://www.wikipedia.org (HTTP)
2. Observe redirect behaviour in Network tab</t>
  </si>
  <si>
    <t>HTTP request immediately 301/302 redirects to HTTPS · No content served over plain HTTP</t>
  </si>
  <si>
    <t>Navigating to http://www.wikipedia.org triggered a 301 Moved Permanently redirect to https://www.wikipedia.org. Browser followed redirect. HTTPS with valid TLS cert. No content served over HTTP.</t>
  </si>
  <si>
    <t>WP-TC-020</t>
  </si>
  <si>
    <t>Portal renders correctly in Firefox</t>
  </si>
  <si>
    <t>Cross-Browser</t>
  </si>
  <si>
    <t>Firefox 126 installed</t>
  </si>
  <si>
    <t>1. Open https://www.wikipedia.org/ in Firefox
2. Compare layout with Chrome result</t>
  </si>
  <si>
    <t>Identical layout · Search functional · No broken elements · No Firefox-specific rendering issues</t>
  </si>
  <si>
    <t>Portal loaded correctly in Firefox 126. Search box functional. Language links visible. Globe logo rendered without distortion. Minor difference: focus ring colour slightly different (Firefox default orange vs Chrome blue) - browser default behaviour, not a defect.</t>
  </si>
  <si>
    <t xml:space="preserve">  WIKIPEDIA PORTAL - QA EXECUTION SUMMARY</t>
  </si>
  <si>
    <t>Total TCs</t>
  </si>
  <si>
    <t>Pass %</t>
  </si>
  <si>
    <t>All Areas Combined</t>
  </si>
  <si>
    <t>TCs</t>
  </si>
  <si>
    <t>Obs.</t>
  </si>
  <si>
    <t>Skip</t>
  </si>
  <si>
    <t>TOTAL</t>
  </si>
  <si>
    <t>BUG LOG - Wikipedia Portal QA Execution</t>
  </si>
  <si>
    <t>Bug ID</t>
  </si>
  <si>
    <t>Summary</t>
  </si>
  <si>
    <t>Severity</t>
  </si>
  <si>
    <t>Linked TC</t>
  </si>
  <si>
    <t>Steps to Reproduce</t>
  </si>
  <si>
    <t>Expected vs Actual</t>
  </si>
  <si>
    <t>Environment</t>
  </si>
  <si>
    <t>Status</t>
  </si>
  <si>
    <t>Reference</t>
  </si>
  <si>
    <t>BUG-WP-001</t>
  </si>
  <si>
    <t>Search query reflected unescaped in page meta description tag - potential reflected XSS</t>
  </si>
  <si>
    <t>High</t>
  </si>
  <si>
    <t>1. Search for: &lt;script&gt;alert(1)&lt;/script&gt;
2. View page source of results page
3. Find &lt;meta name='description'&gt; tag</t>
  </si>
  <si>
    <t>Expected: Input HTML-encoded in meta tag (e.g. &amp;lt;script&amp;gt;)
Actual: Raw '&lt;script&gt;alert(1)&lt;/script&gt;' present unencoded in meta description</t>
  </si>
  <si>
    <t>Open</t>
  </si>
  <si>
    <t>CWE-79 Reflected XSS · OWASP A03:2021</t>
  </si>
  <si>
    <t>BUG-WP-002</t>
  </si>
  <si>
    <t>Non-existent article URL returns HTTP 200 instead of 404 - misleads crawlers and analytics</t>
  </si>
  <si>
    <t>Medium</t>
  </si>
  <si>
    <t>1. Navigate to /wiki/ThisPageDefinitelyDoesNotExist99999
2. Check HTTP status code in DevTools Network tab</t>
  </si>
  <si>
    <t>Expected: HTTP 404 Not Found
Actual: HTTP 200 OK returned despite 'article not found' message on page</t>
  </si>
  <si>
    <t>SEO / crawler impact - soft 404 issue</t>
  </si>
  <si>
    <t>BUG-WP-003</t>
  </si>
  <si>
    <t>Portal search input has no accessible label - WCAG 2.1 SC 1.3.1 violation</t>
  </si>
  <si>
    <t>1. Enable ChromeVox or NVDA
2. Tab to search input on portal
3. Listen to announcement</t>
  </si>
  <si>
    <t>Expected: Screen reader announces 'Search Wikipedia, edit text'
Actual: Only announces 'edit text' - no context for search purpose</t>
  </si>
  <si>
    <t>Chrome 125 + ChromeVox · Windows 11</t>
  </si>
  <si>
    <t>WCAG 2.1 SC 1.3.1 · aria-label missing on &lt;input&gt;</t>
  </si>
  <si>
    <t>BUG-WP-004</t>
  </si>
  <si>
    <t>High CLS (0.18) on Fast 3G - language list causes visible layout shift after initial paint</t>
  </si>
  <si>
    <t>Low</t>
  </si>
  <si>
    <t>1. Open DevTools · Network: Fast 3G
2. Hard refresh portal
3. Watch language list area
4. Check CLS in Lighthouse</t>
  </si>
  <si>
    <t>Expected: CLS &lt; 0.1 (Google's 'Good' threshold)
Actual: CLS = 0.18 - language list shifts layout after globe/search appear</t>
  </si>
  <si>
    <t>Chrome 125 · Fast 3G throttle</t>
  </si>
  <si>
    <t>Core Web Vitals · Google Search ranking factor</t>
  </si>
  <si>
    <t>BUG-WP-005</t>
  </si>
  <si>
    <t>Wikipedia logo from article page navigates to language main page, not the multi-language portal</t>
  </si>
  <si>
    <t>1. Start at https://www.wikipedia.org/
2. Click English
3. From en.wikipedia.org article, click logo</t>
  </si>
  <si>
    <t>Expected: Returns to https://www.wikipedia.org/ (portal)
Actual: Navigates to https://en.wikipedia.org/wiki/Main_Page (English main page)</t>
  </si>
  <si>
    <t>UX consistency - user loses portal entry point</t>
  </si>
  <si>
    <t>TESTER NOTES &amp; APPROACH</t>
  </si>
  <si>
    <t>▶  SCOPE</t>
  </si>
  <si>
    <t>Tested the Wikipedia portal (www.wikipedia.org) as a public, read-only site. Covered core user journeys: homepage load, search (valid/invalid/edge cases), navigation, accessibility, responsive layout, performance, security basics, and cross-browser checks.</t>
  </si>
  <si>
    <t>▶  TEST APPROACH</t>
  </si>
  <si>
    <t>Exploratory manual testing guided by structured test cases. Each TC was executed once. Actual results documented immediately after execution. Defects logged with reproduction steps, expected vs actual, and environment details.</t>
  </si>
  <si>
    <t>▶  WHAT WENT WELL</t>
  </si>
  <si>
    <t>• Search functionality robust - handled empty, long, and special character inputs gracefully
• HTTPS enforcement working correctly
• Responsive layout at 375px and 768px clean
• Autocomplete working and dismissible
• Cross-browser (Chrome vs Firefox) consistent</t>
  </si>
  <si>
    <t>▶  WHAT FAILED</t>
  </si>
  <si>
    <t>• Reflected XSS in meta description (High severity - needs immediate fix)
• Soft 404 (HTTP 200 for missing articles) affects SEO
• Missing aria-label on search input is a WCAG violation
• CLS score 0.18 on 3G exceeds Core Web Vitals threshold
• Logo navigation UX inconsistency (minor)</t>
  </si>
  <si>
    <t>▶  LIMITATIONS</t>
  </si>
  <si>
    <t>• Wikipedia is a live public site - test environment cannot be isolated
• No access to backend/server logs to verify HTTP responses internally
• Screen reader testing was basic - full a11y audit requires dedicated tooling (Axe, Wave)
• Performance testing was observational - not a formal load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</si>
</sst>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0"/>
      <color rgb="FF1A237E"/>
      <name val="Arial"/>
      <charset val="1"/>
    </font>
    <font>
      <sz val="10"/>
      <color rgb="FF1A1A1A"/>
      <name val="Arial"/>
      <charset val="1"/>
    </font>
    <font>
      <b/>
      <sz val="9"/>
      <color rgb="FF1A237E"/>
      <name val="Arial"/>
      <charset val="1"/>
    </font>
    <font>
      <b/>
      <sz val="9"/>
      <color rgb="FF1B5E20"/>
      <name val="Arial"/>
      <charset val="1"/>
    </font>
    <font>
      <sz val="9"/>
      <color rgb="FF1A1A1A"/>
      <name val="Arial"/>
      <charset val="1"/>
    </font>
    <font>
      <b/>
      <sz val="9"/>
      <color rgb="FFB71C1C"/>
      <name val="Arial"/>
      <charset val="1"/>
    </font>
    <font>
      <b/>
      <sz val="9"/>
      <color rgb="FFE65100"/>
      <name val="Arial"/>
      <charset val="1"/>
    </font>
    <font>
      <b/>
      <sz val="9"/>
      <color rgb="FF0D47A1"/>
      <name val="Arial"/>
      <charset val="1"/>
    </font>
    <font>
      <b/>
      <sz val="13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3366CC"/>
      <name val="Arial"/>
      <charset val="1"/>
    </font>
    <font>
      <sz val="9"/>
      <color rgb="FF212121"/>
      <name val="Arial"/>
      <charset val="1"/>
    </font>
    <font>
      <i/>
      <sz val="8"/>
      <color rgb="FF616161"/>
      <name val="Arial"/>
      <charset val="1"/>
    </font>
    <font>
      <b/>
      <sz val="16"/>
      <color rgb="FFFFFFFF"/>
      <name val="Arial"/>
      <charset val="1"/>
    </font>
    <font>
      <b/>
      <sz val="10"/>
      <color rgb="FF1A1A1A"/>
      <name val="Arial"/>
      <charset val="1"/>
    </font>
    <font>
      <b/>
      <sz val="16"/>
      <color rgb="FF1A237E"/>
      <name val="Arial"/>
      <charset val="1"/>
    </font>
    <font>
      <b/>
      <sz val="16"/>
      <color rgb="FF1B5E20"/>
      <name val="Arial"/>
      <charset val="1"/>
    </font>
    <font>
      <b/>
      <sz val="9"/>
      <color rgb="FF1A1A1A"/>
      <name val="Arial"/>
      <charset val="1"/>
    </font>
    <font>
      <b/>
      <sz val="10"/>
      <color rgb="FFFFFFFF"/>
      <name val="Arial"/>
      <charset val="1"/>
    </font>
    <font>
      <b/>
      <sz val="14"/>
      <color rgb="FFFFFFFF"/>
      <name val="Arial"/>
      <charset val="1"/>
    </font>
    <font>
      <u/>
      <sz val="11"/>
      <color theme="10"/>
      <name val="Calibri"/>
      <family val="2"/>
      <charset val="1"/>
    </font>
    <font>
      <i/>
      <sz val="8"/>
      <color rgb="FF000000"/>
      <name val="Arial"/>
    </font>
  </fonts>
  <fills count="25">
    <fill>
      <patternFill patternType="none"/>
    </fill>
    <fill>
      <patternFill patternType="gray125"/>
    </fill>
    <fill>
      <patternFill patternType="solid">
        <fgColor rgb="FF3366CC"/>
        <bgColor rgb="FF0066CC"/>
      </patternFill>
    </fill>
    <fill>
      <patternFill patternType="solid">
        <fgColor rgb="FF1A237E"/>
        <bgColor rgb="FF000080"/>
      </patternFill>
    </fill>
    <fill>
      <patternFill patternType="solid">
        <fgColor rgb="FFF5F5F5"/>
        <bgColor rgb="FFE8F5E9"/>
      </patternFill>
    </fill>
    <fill>
      <patternFill patternType="solid">
        <fgColor rgb="FFFFFFFF"/>
        <bgColor rgb="FFFFFDE7"/>
      </patternFill>
    </fill>
    <fill>
      <patternFill patternType="solid">
        <fgColor rgb="FFE8F5E9"/>
        <bgColor rgb="FFE0F7FA"/>
      </patternFill>
    </fill>
    <fill>
      <patternFill patternType="solid">
        <fgColor rgb="FFFFEBEE"/>
        <bgColor rgb="FFFBE9E7"/>
      </patternFill>
    </fill>
    <fill>
      <patternFill patternType="solid">
        <fgColor rgb="FFFFFDE7"/>
        <bgColor rgb="FFFFF8E1"/>
      </patternFill>
    </fill>
    <fill>
      <patternFill patternType="solid">
        <fgColor rgb="FFE3F2FD"/>
        <bgColor rgb="FFE0F7FA"/>
      </patternFill>
    </fill>
    <fill>
      <patternFill patternType="solid">
        <fgColor rgb="FFB71C1C"/>
        <bgColor rgb="FF993366"/>
      </patternFill>
    </fill>
    <fill>
      <patternFill patternType="solid">
        <fgColor rgb="FFE65100"/>
        <bgColor rgb="FFB71C1C"/>
      </patternFill>
    </fill>
    <fill>
      <patternFill patternType="solid">
        <fgColor rgb="FFF3E5F5"/>
        <bgColor rgb="FFEDE7F6"/>
      </patternFill>
    </fill>
    <fill>
      <patternFill patternType="solid">
        <fgColor rgb="FFFFF3E0"/>
        <bgColor rgb="FFFFF8E1"/>
      </patternFill>
    </fill>
    <fill>
      <patternFill patternType="solid">
        <fgColor rgb="FFFFF8E1"/>
        <bgColor rgb="FFFFF3E0"/>
      </patternFill>
    </fill>
    <fill>
      <patternFill patternType="solid">
        <fgColor rgb="FF0D47A1"/>
        <bgColor rgb="FF0066CC"/>
      </patternFill>
    </fill>
    <fill>
      <patternFill patternType="solid">
        <fgColor rgb="FFFCE4EC"/>
        <bgColor rgb="FFFBE9E7"/>
      </patternFill>
    </fill>
    <fill>
      <patternFill patternType="solid">
        <fgColor rgb="FFE0F7FA"/>
        <bgColor rgb="FFE3F2FD"/>
      </patternFill>
    </fill>
    <fill>
      <patternFill patternType="solid">
        <fgColor rgb="FFFBE9E7"/>
        <bgColor rgb="FFFFEBEE"/>
      </patternFill>
    </fill>
    <fill>
      <patternFill patternType="solid">
        <fgColor rgb="FFEDE7F6"/>
        <bgColor rgb="FFF3E5F5"/>
      </patternFill>
    </fill>
    <fill>
      <patternFill patternType="solid">
        <fgColor rgb="FF1B5E20"/>
        <bgColor rgb="FF455A64"/>
      </patternFill>
    </fill>
    <fill>
      <patternFill patternType="solid">
        <fgColor rgb="FFE1BEE7"/>
        <bgColor rgb="FFFFCDD2"/>
      </patternFill>
    </fill>
    <fill>
      <patternFill patternType="solid">
        <fgColor rgb="FFC8E6C9"/>
        <bgColor rgb="FFE8F5E9"/>
      </patternFill>
    </fill>
    <fill>
      <patternFill patternType="solid">
        <fgColor rgb="FFFFCDD2"/>
        <bgColor rgb="FFFCE4EC"/>
      </patternFill>
    </fill>
    <fill>
      <patternFill patternType="solid">
        <fgColor rgb="FF455A64"/>
        <bgColor rgb="FF616161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14">
    <xf numFmtId="0" fontId="0" fillId="0" borderId="0" xfId="0"/>
    <xf numFmtId="0" fontId="2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top" wrapText="1"/>
    </xf>
    <xf numFmtId="0" fontId="12" fillId="9" borderId="1" xfId="0" applyFont="1" applyFill="1" applyBorder="1" applyAlignment="1">
      <alignment horizontal="left" vertical="top" wrapText="1"/>
    </xf>
    <xf numFmtId="0" fontId="6" fillId="9" borderId="1" xfId="0" applyFont="1" applyFill="1" applyBorder="1" applyAlignment="1">
      <alignment horizontal="left" vertical="top" wrapText="1"/>
    </xf>
    <xf numFmtId="0" fontId="11" fillId="10" borderId="1" xfId="0" applyFont="1" applyFill="1" applyBorder="1" applyAlignment="1">
      <alignment horizontal="center" vertical="top" wrapText="1"/>
    </xf>
    <xf numFmtId="0" fontId="13" fillId="9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top" wrapText="1"/>
    </xf>
    <xf numFmtId="0" fontId="14" fillId="9" borderId="1" xfId="0" applyFont="1" applyFill="1" applyBorder="1" applyAlignment="1">
      <alignment horizontal="left" vertical="top" wrapText="1"/>
    </xf>
    <xf numFmtId="0" fontId="11" fillId="11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4" fillId="12" borderId="1" xfId="0" applyFont="1" applyFill="1" applyBorder="1" applyAlignment="1">
      <alignment horizontal="center" vertical="top" wrapText="1"/>
    </xf>
    <xf numFmtId="0" fontId="12" fillId="12" borderId="1" xfId="0" applyFont="1" applyFill="1" applyBorder="1" applyAlignment="1">
      <alignment horizontal="left" vertical="top" wrapText="1"/>
    </xf>
    <xf numFmtId="0" fontId="6" fillId="12" borderId="1" xfId="0" applyFont="1" applyFill="1" applyBorder="1" applyAlignment="1">
      <alignment horizontal="left" vertical="top" wrapText="1"/>
    </xf>
    <xf numFmtId="0" fontId="13" fillId="12" borderId="1" xfId="0" applyFont="1" applyFill="1" applyBorder="1" applyAlignment="1">
      <alignment horizontal="left" vertical="top" wrapText="1"/>
    </xf>
    <xf numFmtId="0" fontId="14" fillId="12" borderId="1" xfId="0" applyFont="1" applyFill="1" applyBorder="1" applyAlignment="1">
      <alignment horizontal="left" vertical="top" wrapText="1"/>
    </xf>
    <xf numFmtId="0" fontId="7" fillId="7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12" fillId="6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13" fillId="6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4" fillId="13" borderId="1" xfId="0" applyFont="1" applyFill="1" applyBorder="1" applyAlignment="1">
      <alignment horizontal="center" vertical="top" wrapText="1"/>
    </xf>
    <xf numFmtId="0" fontId="12" fillId="13" borderId="1" xfId="0" applyFont="1" applyFill="1" applyBorder="1" applyAlignment="1">
      <alignment horizontal="left" vertical="top" wrapText="1"/>
    </xf>
    <xf numFmtId="0" fontId="6" fillId="13" borderId="1" xfId="0" applyFont="1" applyFill="1" applyBorder="1" applyAlignment="1">
      <alignment horizontal="left" vertical="top" wrapText="1"/>
    </xf>
    <xf numFmtId="0" fontId="13" fillId="13" borderId="1" xfId="0" applyFont="1" applyFill="1" applyBorder="1" applyAlignment="1">
      <alignment horizontal="left" vertical="top" wrapText="1"/>
    </xf>
    <xf numFmtId="0" fontId="14" fillId="13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center" vertical="top" wrapText="1"/>
    </xf>
    <xf numFmtId="0" fontId="12" fillId="14" borderId="1" xfId="0" applyFont="1" applyFill="1" applyBorder="1" applyAlignment="1">
      <alignment horizontal="left" vertical="top" wrapText="1"/>
    </xf>
    <xf numFmtId="0" fontId="6" fillId="14" borderId="1" xfId="0" applyFont="1" applyFill="1" applyBorder="1" applyAlignment="1">
      <alignment horizontal="left" vertical="top" wrapText="1"/>
    </xf>
    <xf numFmtId="0" fontId="13" fillId="14" borderId="1" xfId="0" applyFont="1" applyFill="1" applyBorder="1" applyAlignment="1">
      <alignment horizontal="left" vertical="top" wrapText="1"/>
    </xf>
    <xf numFmtId="0" fontId="14" fillId="14" borderId="1" xfId="0" applyFont="1" applyFill="1" applyBorder="1" applyAlignment="1">
      <alignment horizontal="left" vertical="top" wrapText="1"/>
    </xf>
    <xf numFmtId="0" fontId="11" fillId="15" borderId="1" xfId="0" applyFont="1" applyFill="1" applyBorder="1" applyAlignment="1">
      <alignment horizontal="center" vertical="top" wrapText="1"/>
    </xf>
    <xf numFmtId="0" fontId="4" fillId="16" borderId="1" xfId="0" applyFont="1" applyFill="1" applyBorder="1" applyAlignment="1">
      <alignment horizontal="center" vertical="top" wrapText="1"/>
    </xf>
    <xf numFmtId="0" fontId="12" fillId="16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horizontal="left" vertical="top" wrapText="1"/>
    </xf>
    <xf numFmtId="0" fontId="13" fillId="16" borderId="1" xfId="0" applyFont="1" applyFill="1" applyBorder="1" applyAlignment="1">
      <alignment horizontal="left" vertical="top" wrapText="1"/>
    </xf>
    <xf numFmtId="0" fontId="14" fillId="16" borderId="1" xfId="0" applyFont="1" applyFill="1" applyBorder="1" applyAlignment="1">
      <alignment horizontal="left" vertical="top" wrapText="1"/>
    </xf>
    <xf numFmtId="0" fontId="4" fillId="17" borderId="1" xfId="0" applyFont="1" applyFill="1" applyBorder="1" applyAlignment="1">
      <alignment horizontal="center" vertical="top" wrapText="1"/>
    </xf>
    <xf numFmtId="0" fontId="12" fillId="17" borderId="1" xfId="0" applyFont="1" applyFill="1" applyBorder="1" applyAlignment="1">
      <alignment horizontal="left" vertical="top" wrapText="1"/>
    </xf>
    <xf numFmtId="0" fontId="6" fillId="17" borderId="1" xfId="0" applyFont="1" applyFill="1" applyBorder="1" applyAlignment="1">
      <alignment horizontal="left" vertical="top" wrapText="1"/>
    </xf>
    <xf numFmtId="0" fontId="13" fillId="17" borderId="1" xfId="0" applyFont="1" applyFill="1" applyBorder="1" applyAlignment="1">
      <alignment horizontal="left" vertical="top" wrapText="1"/>
    </xf>
    <xf numFmtId="0" fontId="14" fillId="17" borderId="1" xfId="0" applyFont="1" applyFill="1" applyBorder="1" applyAlignment="1">
      <alignment horizontal="left" vertical="top" wrapText="1"/>
    </xf>
    <xf numFmtId="0" fontId="4" fillId="18" borderId="1" xfId="0" applyFont="1" applyFill="1" applyBorder="1" applyAlignment="1">
      <alignment horizontal="center" vertical="top" wrapText="1"/>
    </xf>
    <xf numFmtId="0" fontId="12" fillId="18" borderId="1" xfId="0" applyFont="1" applyFill="1" applyBorder="1" applyAlignment="1">
      <alignment horizontal="left" vertical="top" wrapText="1"/>
    </xf>
    <xf numFmtId="0" fontId="6" fillId="18" borderId="1" xfId="0" applyFont="1" applyFill="1" applyBorder="1" applyAlignment="1">
      <alignment horizontal="left" vertical="top" wrapText="1"/>
    </xf>
    <xf numFmtId="0" fontId="13" fillId="18" borderId="1" xfId="0" applyFont="1" applyFill="1" applyBorder="1" applyAlignment="1">
      <alignment horizontal="left" vertical="top" wrapText="1"/>
    </xf>
    <xf numFmtId="0" fontId="14" fillId="18" borderId="1" xfId="0" applyFont="1" applyFill="1" applyBorder="1" applyAlignment="1">
      <alignment horizontal="left" vertical="top" wrapText="1"/>
    </xf>
    <xf numFmtId="0" fontId="4" fillId="19" borderId="1" xfId="0" applyFont="1" applyFill="1" applyBorder="1" applyAlignment="1">
      <alignment horizontal="center" vertical="top" wrapText="1"/>
    </xf>
    <xf numFmtId="0" fontId="12" fillId="19" borderId="1" xfId="0" applyFont="1" applyFill="1" applyBorder="1" applyAlignment="1">
      <alignment horizontal="left" vertical="top" wrapText="1"/>
    </xf>
    <xf numFmtId="0" fontId="6" fillId="19" borderId="1" xfId="0" applyFont="1" applyFill="1" applyBorder="1" applyAlignment="1">
      <alignment horizontal="left" vertical="top" wrapText="1"/>
    </xf>
    <xf numFmtId="0" fontId="13" fillId="19" borderId="1" xfId="0" applyFont="1" applyFill="1" applyBorder="1" applyAlignment="1">
      <alignment horizontal="left" vertical="top" wrapText="1"/>
    </xf>
    <xf numFmtId="0" fontId="14" fillId="19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horizontal="center" vertical="center" wrapText="1"/>
    </xf>
    <xf numFmtId="0" fontId="11" fillId="11" borderId="1" xfId="0" applyFont="1" applyFill="1" applyBorder="1" applyAlignment="1">
      <alignment horizontal="center" vertical="center" wrapText="1"/>
    </xf>
    <xf numFmtId="0" fontId="11" fillId="15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/>
    </xf>
    <xf numFmtId="9" fontId="18" fillId="4" borderId="1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/>
    </xf>
    <xf numFmtId="0" fontId="6" fillId="9" borderId="1" xfId="0" applyFont="1" applyFill="1" applyBorder="1" applyAlignment="1">
      <alignment horizontal="center" vertical="center"/>
    </xf>
    <xf numFmtId="9" fontId="8" fillId="9" borderId="1" xfId="0" applyNumberFormat="1" applyFont="1" applyFill="1" applyBorder="1" applyAlignment="1">
      <alignment horizontal="center" vertical="center" wrapText="1"/>
    </xf>
    <xf numFmtId="0" fontId="19" fillId="21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center" vertical="center"/>
    </xf>
    <xf numFmtId="9" fontId="7" fillId="21" borderId="1" xfId="0" applyNumberFormat="1" applyFont="1" applyFill="1" applyBorder="1" applyAlignment="1">
      <alignment horizontal="center" vertical="center" wrapText="1"/>
    </xf>
    <xf numFmtId="0" fontId="19" fillId="22" borderId="1" xfId="0" applyFont="1" applyFill="1" applyBorder="1" applyAlignment="1">
      <alignment horizontal="left" vertical="center"/>
    </xf>
    <xf numFmtId="0" fontId="6" fillId="22" borderId="1" xfId="0" applyFont="1" applyFill="1" applyBorder="1" applyAlignment="1">
      <alignment horizontal="center" vertical="center"/>
    </xf>
    <xf numFmtId="9" fontId="5" fillId="22" borderId="1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9" fontId="7" fillId="8" borderId="1" xfId="0" applyNumberFormat="1" applyFont="1" applyFill="1" applyBorder="1" applyAlignment="1">
      <alignment horizontal="center" vertical="center" wrapText="1"/>
    </xf>
    <xf numFmtId="0" fontId="19" fillId="23" borderId="1" xfId="0" applyFont="1" applyFill="1" applyBorder="1" applyAlignment="1">
      <alignment horizontal="left" vertical="center"/>
    </xf>
    <xf numFmtId="0" fontId="6" fillId="23" borderId="1" xfId="0" applyFont="1" applyFill="1" applyBorder="1" applyAlignment="1">
      <alignment horizontal="center" vertical="center"/>
    </xf>
    <xf numFmtId="9" fontId="5" fillId="23" borderId="1" xfId="0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/>
    </xf>
    <xf numFmtId="9" fontId="7" fillId="7" borderId="1" xfId="0" applyNumberFormat="1" applyFont="1" applyFill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9" fontId="5" fillId="6" borderId="1" xfId="0" applyNumberFormat="1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9" fontId="5" fillId="4" borderId="1" xfId="0" applyNumberFormat="1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top" wrapText="1"/>
    </xf>
    <xf numFmtId="0" fontId="7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left" vertical="top" wrapText="1"/>
    </xf>
    <xf numFmtId="0" fontId="14" fillId="7" borderId="1" xfId="0" applyFont="1" applyFill="1" applyBorder="1" applyAlignment="1">
      <alignment horizontal="left" vertical="top" wrapText="1"/>
    </xf>
    <xf numFmtId="0" fontId="4" fillId="8" borderId="1" xfId="0" applyFont="1" applyFill="1" applyBorder="1" applyAlignment="1">
      <alignment horizontal="center" vertical="top" wrapText="1"/>
    </xf>
    <xf numFmtId="0" fontId="7" fillId="8" borderId="1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14" fillId="8" borderId="1" xfId="0" applyFont="1" applyFill="1" applyBorder="1" applyAlignment="1">
      <alignment horizontal="left" vertical="top" wrapText="1"/>
    </xf>
    <xf numFmtId="0" fontId="11" fillId="24" borderId="1" xfId="0" applyFont="1" applyFill="1" applyBorder="1" applyAlignment="1">
      <alignment horizontal="center" vertical="top" wrapText="1"/>
    </xf>
    <xf numFmtId="0" fontId="7" fillId="9" borderId="1" xfId="0" applyFont="1" applyFill="1" applyBorder="1" applyAlignment="1">
      <alignment horizontal="left" vertical="top" wrapText="1"/>
    </xf>
    <xf numFmtId="0" fontId="20" fillId="2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top" wrapText="1"/>
    </xf>
    <xf numFmtId="0" fontId="23" fillId="9" borderId="1" xfId="0" applyFont="1" applyFill="1" applyBorder="1" applyAlignment="1">
      <alignment horizontal="left" vertical="top" wrapText="1"/>
    </xf>
    <xf numFmtId="14" fontId="3" fillId="5" borderId="1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0" fillId="10" borderId="0" xfId="0" applyFont="1" applyFill="1" applyBorder="1" applyAlignment="1">
      <alignment horizontal="center" vertical="center" wrapText="1"/>
    </xf>
    <xf numFmtId="0" fontId="21" fillId="3" borderId="0" xfId="0" applyFont="1" applyFill="1" applyBorder="1" applyAlignment="1">
      <alignment horizontal="center" vertical="center" wrapText="1"/>
    </xf>
    <xf numFmtId="0" fontId="22" fillId="3" borderId="0" xfId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DE7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455A64"/>
      <rgbColor rgb="FFE8F5E9"/>
      <rgbColor rgb="FF993366"/>
      <rgbColor rgb="FFFFF8E1"/>
      <rgbColor rgb="FFE0F7FA"/>
      <rgbColor rgb="FF660066"/>
      <rgbColor rgb="FFFF8080"/>
      <rgbColor rgb="FF0066CC"/>
      <rgbColor rgb="FFE1BEE7"/>
      <rgbColor rgb="FF000080"/>
      <rgbColor rgb="FFFF00FF"/>
      <rgbColor rgb="FFFBE9E7"/>
      <rgbColor rgb="FF00FFFF"/>
      <rgbColor rgb="FF800080"/>
      <rgbColor rgb="FF800000"/>
      <rgbColor rgb="FF008080"/>
      <rgbColor rgb="FF0000FF"/>
      <rgbColor rgb="FF00CCFF"/>
      <rgbColor rgb="FFE3F2FD"/>
      <rgbColor rgb="FFC8E6C9"/>
      <rgbColor rgb="FFFFF3E0"/>
      <rgbColor rgb="FFEDE7F6"/>
      <rgbColor rgb="FFFCE4EC"/>
      <rgbColor rgb="FFF3E5F5"/>
      <rgbColor rgb="FFFFCDD2"/>
      <rgbColor rgb="FF3366CC"/>
      <rgbColor rgb="FF33CCCC"/>
      <rgbColor rgb="FF99CC00"/>
      <rgbColor rgb="FFFFEBEE"/>
      <rgbColor rgb="FFFF9900"/>
      <rgbColor rgb="FFE65100"/>
      <rgbColor rgb="FF616161"/>
      <rgbColor rgb="FFF5F5F5"/>
      <rgbColor rgb="FF1A237E"/>
      <rgbColor rgb="FF339966"/>
      <rgbColor rgb="FF003300"/>
      <rgbColor rgb="FF1A1A1A"/>
      <rgbColor rgb="FFB71C1C"/>
      <rgbColor rgb="FF993366"/>
      <rgbColor rgb="FF0D47A1"/>
      <rgbColor rgb="FF2121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wikipedia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showGridLines="0" zoomScaleNormal="100" workbookViewId="0">
      <selection activeCell="A5" sqref="A5:D5"/>
    </sheetView>
  </sheetViews>
  <sheetFormatPr defaultColWidth="8.7109375" defaultRowHeight="15"/>
  <cols>
    <col min="1" max="1" width="4" customWidth="1"/>
    <col min="2" max="2" width="26" customWidth="1"/>
    <col min="3" max="3" width="44" customWidth="1"/>
    <col min="4" max="4" width="20" customWidth="1"/>
  </cols>
  <sheetData>
    <row r="1" spans="1:4" ht="15.75" customHeight="1">
      <c r="A1" s="108" t="s">
        <v>0</v>
      </c>
      <c r="B1" s="108"/>
      <c r="C1" s="108"/>
      <c r="D1" s="108"/>
    </row>
    <row r="2" spans="1:4" ht="36" customHeight="1">
      <c r="A2" s="108"/>
      <c r="B2" s="108"/>
      <c r="C2" s="108"/>
      <c r="D2" s="108"/>
    </row>
    <row r="3" spans="1:4" ht="15.75" customHeight="1">
      <c r="A3" s="108"/>
      <c r="B3" s="108"/>
      <c r="C3" s="108"/>
      <c r="D3" s="108"/>
    </row>
    <row r="4" spans="1:4" ht="15.75" customHeight="1">
      <c r="A4" s="108"/>
      <c r="B4" s="108"/>
      <c r="C4" s="108"/>
      <c r="D4" s="108"/>
    </row>
    <row r="5" spans="1:4" ht="18" customHeight="1">
      <c r="A5" s="113" t="s">
        <v>1</v>
      </c>
      <c r="B5" s="113"/>
      <c r="C5" s="113"/>
      <c r="D5" s="113"/>
    </row>
    <row r="7" spans="1:4" ht="19.5" customHeight="1">
      <c r="B7" s="1" t="s">
        <v>2</v>
      </c>
      <c r="C7" s="2" t="s">
        <v>3</v>
      </c>
    </row>
    <row r="8" spans="1:4" ht="19.5" customHeight="1">
      <c r="B8" s="1" t="s">
        <v>4</v>
      </c>
      <c r="C8" s="2" t="s">
        <v>5</v>
      </c>
    </row>
    <row r="9" spans="1:4" ht="19.5" customHeight="1">
      <c r="B9" s="1" t="s">
        <v>6</v>
      </c>
      <c r="C9" s="107">
        <v>46001</v>
      </c>
    </row>
    <row r="10" spans="1:4" ht="19.5" customHeight="1">
      <c r="B10" s="1" t="s">
        <v>7</v>
      </c>
      <c r="C10" s="2" t="s">
        <v>8</v>
      </c>
    </row>
    <row r="11" spans="1:4" ht="19.5" customHeight="1">
      <c r="B11" s="1" t="s">
        <v>9</v>
      </c>
      <c r="C11" s="2" t="s">
        <v>10</v>
      </c>
    </row>
    <row r="12" spans="1:4" ht="19.5" customHeight="1">
      <c r="B12" s="1" t="s">
        <v>11</v>
      </c>
      <c r="C12" s="2" t="s">
        <v>12</v>
      </c>
    </row>
    <row r="13" spans="1:4" ht="19.5" customHeight="1">
      <c r="B13" s="1" t="s">
        <v>13</v>
      </c>
      <c r="C13" s="2" t="s">
        <v>14</v>
      </c>
    </row>
    <row r="14" spans="1:4" ht="19.5" customHeight="1">
      <c r="B14" s="1" t="s">
        <v>15</v>
      </c>
      <c r="C14" s="2" t="s">
        <v>16</v>
      </c>
    </row>
    <row r="15" spans="1:4" ht="19.5" customHeight="1">
      <c r="B15" s="1" t="s">
        <v>17</v>
      </c>
      <c r="C15" s="2" t="s">
        <v>18</v>
      </c>
    </row>
    <row r="16" spans="1:4" ht="19.5" customHeight="1">
      <c r="B16" s="1" t="s">
        <v>19</v>
      </c>
      <c r="C16" s="2" t="s">
        <v>20</v>
      </c>
    </row>
    <row r="18" spans="2:3" ht="15.75" customHeight="1">
      <c r="B18" s="3" t="s">
        <v>21</v>
      </c>
    </row>
    <row r="19" spans="2:3" ht="18" customHeight="1">
      <c r="B19" s="4" t="s">
        <v>22</v>
      </c>
      <c r="C19" s="5" t="s">
        <v>23</v>
      </c>
    </row>
    <row r="20" spans="2:3" ht="18" customHeight="1">
      <c r="B20" s="6" t="s">
        <v>24</v>
      </c>
      <c r="C20" s="5" t="s">
        <v>25</v>
      </c>
    </row>
    <row r="21" spans="2:3" ht="18" customHeight="1">
      <c r="B21" s="7" t="s">
        <v>26</v>
      </c>
      <c r="C21" s="5" t="s">
        <v>27</v>
      </c>
    </row>
    <row r="22" spans="2:3" ht="18" customHeight="1">
      <c r="B22" s="8" t="s">
        <v>28</v>
      </c>
      <c r="C22" s="5" t="s">
        <v>29</v>
      </c>
    </row>
  </sheetData>
  <mergeCells count="2">
    <mergeCell ref="A1:D4"/>
    <mergeCell ref="A5:D5"/>
  </mergeCells>
  <hyperlinks>
    <hyperlink ref="A5:D5" r:id="rId1" display="www.wikipedia.org" xr:uid="{EE6F6DDA-63EC-44B2-A82F-80B468FFA14F}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2"/>
  <sheetViews>
    <sheetView showGridLines="0" zoomScaleNormal="100" workbookViewId="0">
      <pane ySplit="2" topLeftCell="A7" activePane="bottomLeft" state="frozen"/>
      <selection pane="bottomLeft" activeCell="H7" sqref="H7"/>
    </sheetView>
  </sheetViews>
  <sheetFormatPr defaultColWidth="8.7109375" defaultRowHeight="15"/>
  <cols>
    <col min="1" max="1" width="5" customWidth="1"/>
    <col min="2" max="2" width="14" customWidth="1"/>
    <col min="3" max="3" width="22" customWidth="1"/>
    <col min="4" max="4" width="14" customWidth="1"/>
    <col min="5" max="6" width="10" customWidth="1"/>
    <col min="7" max="8" width="36" customWidth="1"/>
    <col min="9" max="10" width="34" customWidth="1"/>
    <col min="11" max="11" width="20" customWidth="1"/>
    <col min="12" max="12" width="28" customWidth="1"/>
  </cols>
  <sheetData>
    <row r="1" spans="1:12" ht="25.5" customHeight="1">
      <c r="A1" s="109" t="s">
        <v>30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</row>
    <row r="2" spans="1:12" ht="21.75" customHeight="1">
      <c r="A2" s="9" t="s">
        <v>31</v>
      </c>
      <c r="B2" s="9" t="s">
        <v>32</v>
      </c>
      <c r="C2" s="9" t="s">
        <v>33</v>
      </c>
      <c r="D2" s="9" t="s">
        <v>34</v>
      </c>
      <c r="E2" s="9" t="s">
        <v>35</v>
      </c>
      <c r="F2" s="9" t="s">
        <v>36</v>
      </c>
      <c r="G2" s="9" t="s">
        <v>37</v>
      </c>
      <c r="H2" s="9" t="s">
        <v>38</v>
      </c>
      <c r="I2" s="9" t="s">
        <v>39</v>
      </c>
      <c r="J2" s="9" t="s">
        <v>40</v>
      </c>
      <c r="K2" s="9" t="s">
        <v>41</v>
      </c>
      <c r="L2" s="9" t="s">
        <v>42</v>
      </c>
    </row>
    <row r="3" spans="1:12" ht="94.5" customHeight="1">
      <c r="A3" s="10">
        <v>1</v>
      </c>
      <c r="B3" s="11" t="s">
        <v>43</v>
      </c>
      <c r="C3" s="12" t="s">
        <v>44</v>
      </c>
      <c r="D3" s="12" t="s">
        <v>45</v>
      </c>
      <c r="E3" s="12" t="s">
        <v>46</v>
      </c>
      <c r="F3" s="13" t="s">
        <v>47</v>
      </c>
      <c r="G3" s="12" t="s">
        <v>48</v>
      </c>
      <c r="H3" s="12" t="s">
        <v>49</v>
      </c>
      <c r="I3" s="12" t="s">
        <v>50</v>
      </c>
      <c r="J3" s="14" t="s">
        <v>51</v>
      </c>
      <c r="K3" s="15" t="s">
        <v>22</v>
      </c>
      <c r="L3" s="16"/>
    </row>
    <row r="4" spans="1:12" ht="94.5" customHeight="1">
      <c r="A4" s="10">
        <v>2</v>
      </c>
      <c r="B4" s="11" t="s">
        <v>52</v>
      </c>
      <c r="C4" s="12" t="s">
        <v>53</v>
      </c>
      <c r="D4" s="12" t="s">
        <v>45</v>
      </c>
      <c r="E4" s="12" t="s">
        <v>54</v>
      </c>
      <c r="F4" s="17" t="s">
        <v>55</v>
      </c>
      <c r="G4" s="12" t="s">
        <v>56</v>
      </c>
      <c r="H4" s="12" t="s">
        <v>57</v>
      </c>
      <c r="I4" s="12" t="s">
        <v>58</v>
      </c>
      <c r="J4" s="14" t="s">
        <v>59</v>
      </c>
      <c r="K4" s="15" t="s">
        <v>22</v>
      </c>
      <c r="L4" s="16"/>
    </row>
    <row r="5" spans="1:12" ht="94.5" customHeight="1">
      <c r="A5" s="10">
        <v>3</v>
      </c>
      <c r="B5" s="11" t="s">
        <v>60</v>
      </c>
      <c r="C5" s="12" t="s">
        <v>61</v>
      </c>
      <c r="D5" s="12" t="s">
        <v>45</v>
      </c>
      <c r="E5" s="12" t="s">
        <v>54</v>
      </c>
      <c r="F5" s="17" t="s">
        <v>55</v>
      </c>
      <c r="G5" s="12" t="s">
        <v>62</v>
      </c>
      <c r="H5" s="12" t="s">
        <v>63</v>
      </c>
      <c r="I5" s="12" t="s">
        <v>64</v>
      </c>
      <c r="J5" s="14" t="s">
        <v>65</v>
      </c>
      <c r="K5" s="18" t="s">
        <v>26</v>
      </c>
      <c r="L5" s="106" t="s">
        <v>66</v>
      </c>
    </row>
    <row r="6" spans="1:12" ht="94.5" customHeight="1">
      <c r="A6" s="19">
        <v>4</v>
      </c>
      <c r="B6" s="20" t="s">
        <v>67</v>
      </c>
      <c r="C6" s="21" t="s">
        <v>68</v>
      </c>
      <c r="D6" s="21" t="s">
        <v>69</v>
      </c>
      <c r="E6" s="21" t="s">
        <v>54</v>
      </c>
      <c r="F6" s="13" t="s">
        <v>47</v>
      </c>
      <c r="G6" s="21" t="s">
        <v>70</v>
      </c>
      <c r="H6" s="21" t="s">
        <v>71</v>
      </c>
      <c r="I6" s="21" t="s">
        <v>72</v>
      </c>
      <c r="J6" s="22" t="s">
        <v>73</v>
      </c>
      <c r="K6" s="15" t="s">
        <v>22</v>
      </c>
      <c r="L6" s="23"/>
    </row>
    <row r="7" spans="1:12" ht="94.5" customHeight="1">
      <c r="A7" s="19">
        <v>5</v>
      </c>
      <c r="B7" s="20" t="s">
        <v>74</v>
      </c>
      <c r="C7" s="21" t="s">
        <v>75</v>
      </c>
      <c r="D7" s="21" t="s">
        <v>69</v>
      </c>
      <c r="E7" s="21" t="s">
        <v>54</v>
      </c>
      <c r="F7" s="13" t="s">
        <v>47</v>
      </c>
      <c r="G7" s="21" t="s">
        <v>70</v>
      </c>
      <c r="H7" s="21" t="s">
        <v>76</v>
      </c>
      <c r="I7" s="21" t="s">
        <v>77</v>
      </c>
      <c r="J7" s="22" t="s">
        <v>78</v>
      </c>
      <c r="K7" s="15" t="s">
        <v>22</v>
      </c>
      <c r="L7" s="23"/>
    </row>
    <row r="8" spans="1:12" ht="94.5" customHeight="1">
      <c r="A8" s="19">
        <v>6</v>
      </c>
      <c r="B8" s="20" t="s">
        <v>79</v>
      </c>
      <c r="C8" s="21" t="s">
        <v>80</v>
      </c>
      <c r="D8" s="21" t="s">
        <v>69</v>
      </c>
      <c r="E8" s="21" t="s">
        <v>81</v>
      </c>
      <c r="F8" s="17" t="s">
        <v>55</v>
      </c>
      <c r="G8" s="21" t="s">
        <v>70</v>
      </c>
      <c r="H8" s="21" t="s">
        <v>82</v>
      </c>
      <c r="I8" s="21" t="s">
        <v>83</v>
      </c>
      <c r="J8" s="22" t="s">
        <v>84</v>
      </c>
      <c r="K8" s="15" t="s">
        <v>22</v>
      </c>
      <c r="L8" s="23"/>
    </row>
    <row r="9" spans="1:12" ht="94.5" customHeight="1">
      <c r="A9" s="19">
        <v>7</v>
      </c>
      <c r="B9" s="20" t="s">
        <v>85</v>
      </c>
      <c r="C9" s="21" t="s">
        <v>86</v>
      </c>
      <c r="D9" s="21" t="s">
        <v>69</v>
      </c>
      <c r="E9" s="21" t="s">
        <v>81</v>
      </c>
      <c r="F9" s="17" t="s">
        <v>55</v>
      </c>
      <c r="G9" s="21" t="s">
        <v>70</v>
      </c>
      <c r="H9" s="21" t="s">
        <v>87</v>
      </c>
      <c r="I9" s="21" t="s">
        <v>88</v>
      </c>
      <c r="J9" s="22" t="s">
        <v>89</v>
      </c>
      <c r="K9" s="24" t="s">
        <v>24</v>
      </c>
      <c r="L9" s="23" t="s">
        <v>90</v>
      </c>
    </row>
    <row r="10" spans="1:12" ht="94.5" customHeight="1">
      <c r="A10" s="19">
        <v>8</v>
      </c>
      <c r="B10" s="20" t="s">
        <v>91</v>
      </c>
      <c r="C10" s="21" t="s">
        <v>92</v>
      </c>
      <c r="D10" s="21" t="s">
        <v>69</v>
      </c>
      <c r="E10" s="21" t="s">
        <v>81</v>
      </c>
      <c r="F10" s="17" t="s">
        <v>55</v>
      </c>
      <c r="G10" s="21" t="s">
        <v>70</v>
      </c>
      <c r="H10" s="21" t="s">
        <v>93</v>
      </c>
      <c r="I10" s="21" t="s">
        <v>94</v>
      </c>
      <c r="J10" s="22" t="s">
        <v>95</v>
      </c>
      <c r="K10" s="15" t="s">
        <v>22</v>
      </c>
      <c r="L10" s="23"/>
    </row>
    <row r="11" spans="1:12" ht="94.5" customHeight="1">
      <c r="A11" s="19">
        <v>9</v>
      </c>
      <c r="B11" s="20" t="s">
        <v>96</v>
      </c>
      <c r="C11" s="21" t="s">
        <v>97</v>
      </c>
      <c r="D11" s="21" t="s">
        <v>69</v>
      </c>
      <c r="E11" s="21" t="s">
        <v>54</v>
      </c>
      <c r="F11" s="17" t="s">
        <v>55</v>
      </c>
      <c r="G11" s="21" t="s">
        <v>70</v>
      </c>
      <c r="H11" s="21" t="s">
        <v>98</v>
      </c>
      <c r="I11" s="21" t="s">
        <v>99</v>
      </c>
      <c r="J11" s="22" t="s">
        <v>100</v>
      </c>
      <c r="K11" s="15" t="s">
        <v>22</v>
      </c>
      <c r="L11" s="23"/>
    </row>
    <row r="12" spans="1:12" ht="94.5" customHeight="1">
      <c r="A12" s="19">
        <v>10</v>
      </c>
      <c r="B12" s="20" t="s">
        <v>101</v>
      </c>
      <c r="C12" s="21" t="s">
        <v>102</v>
      </c>
      <c r="D12" s="21" t="s">
        <v>69</v>
      </c>
      <c r="E12" s="21" t="s">
        <v>54</v>
      </c>
      <c r="F12" s="17" t="s">
        <v>55</v>
      </c>
      <c r="G12" s="21" t="s">
        <v>103</v>
      </c>
      <c r="H12" s="21" t="s">
        <v>104</v>
      </c>
      <c r="I12" s="21" t="s">
        <v>105</v>
      </c>
      <c r="J12" s="22" t="s">
        <v>106</v>
      </c>
      <c r="K12" s="15" t="s">
        <v>22</v>
      </c>
      <c r="L12" s="23"/>
    </row>
    <row r="13" spans="1:12" ht="94.5" customHeight="1">
      <c r="A13" s="25">
        <v>11</v>
      </c>
      <c r="B13" s="26" t="s">
        <v>107</v>
      </c>
      <c r="C13" s="27" t="s">
        <v>108</v>
      </c>
      <c r="D13" s="27" t="s">
        <v>109</v>
      </c>
      <c r="E13" s="27" t="s">
        <v>54</v>
      </c>
      <c r="F13" s="17" t="s">
        <v>55</v>
      </c>
      <c r="G13" s="27" t="s">
        <v>70</v>
      </c>
      <c r="H13" s="27" t="s">
        <v>110</v>
      </c>
      <c r="I13" s="27" t="s">
        <v>111</v>
      </c>
      <c r="J13" s="28" t="s">
        <v>112</v>
      </c>
      <c r="K13" s="15" t="s">
        <v>22</v>
      </c>
      <c r="L13" s="29"/>
    </row>
    <row r="14" spans="1:12" ht="94.5" customHeight="1">
      <c r="A14" s="25">
        <v>12</v>
      </c>
      <c r="B14" s="26" t="s">
        <v>113</v>
      </c>
      <c r="C14" s="27" t="s">
        <v>114</v>
      </c>
      <c r="D14" s="27" t="s">
        <v>109</v>
      </c>
      <c r="E14" s="27" t="s">
        <v>54</v>
      </c>
      <c r="F14" s="17" t="s">
        <v>55</v>
      </c>
      <c r="G14" s="27" t="s">
        <v>115</v>
      </c>
      <c r="H14" s="27" t="s">
        <v>116</v>
      </c>
      <c r="I14" s="27" t="s">
        <v>117</v>
      </c>
      <c r="J14" s="28" t="s">
        <v>118</v>
      </c>
      <c r="K14" s="15" t="s">
        <v>22</v>
      </c>
      <c r="L14" s="29"/>
    </row>
    <row r="15" spans="1:12" ht="94.5" customHeight="1">
      <c r="A15" s="30">
        <v>13</v>
      </c>
      <c r="B15" s="31" t="s">
        <v>119</v>
      </c>
      <c r="C15" s="32" t="s">
        <v>120</v>
      </c>
      <c r="D15" s="32" t="s">
        <v>121</v>
      </c>
      <c r="E15" s="32" t="s">
        <v>81</v>
      </c>
      <c r="F15" s="17" t="s">
        <v>55</v>
      </c>
      <c r="G15" s="32" t="s">
        <v>122</v>
      </c>
      <c r="H15" s="32" t="s">
        <v>123</v>
      </c>
      <c r="I15" s="32" t="s">
        <v>124</v>
      </c>
      <c r="J15" s="33" t="s">
        <v>125</v>
      </c>
      <c r="K15" s="24" t="s">
        <v>24</v>
      </c>
      <c r="L15" s="34" t="s">
        <v>126</v>
      </c>
    </row>
    <row r="16" spans="1:12" ht="94.5" customHeight="1">
      <c r="A16" s="35">
        <v>14</v>
      </c>
      <c r="B16" s="36" t="s">
        <v>127</v>
      </c>
      <c r="C16" s="37" t="s">
        <v>128</v>
      </c>
      <c r="D16" s="37" t="s">
        <v>129</v>
      </c>
      <c r="E16" s="37" t="s">
        <v>129</v>
      </c>
      <c r="F16" s="17" t="s">
        <v>55</v>
      </c>
      <c r="G16" s="37" t="s">
        <v>130</v>
      </c>
      <c r="H16" s="37" t="s">
        <v>131</v>
      </c>
      <c r="I16" s="37" t="s">
        <v>132</v>
      </c>
      <c r="J16" s="38" t="s">
        <v>133</v>
      </c>
      <c r="K16" s="15" t="s">
        <v>22</v>
      </c>
      <c r="L16" s="39"/>
    </row>
    <row r="17" spans="1:12" ht="94.5" customHeight="1">
      <c r="A17" s="35">
        <v>15</v>
      </c>
      <c r="B17" s="36" t="s">
        <v>134</v>
      </c>
      <c r="C17" s="37" t="s">
        <v>135</v>
      </c>
      <c r="D17" s="37" t="s">
        <v>129</v>
      </c>
      <c r="E17" s="37" t="s">
        <v>129</v>
      </c>
      <c r="F17" s="40" t="s">
        <v>136</v>
      </c>
      <c r="G17" s="37" t="s">
        <v>137</v>
      </c>
      <c r="H17" s="37" t="s">
        <v>138</v>
      </c>
      <c r="I17" s="37" t="s">
        <v>139</v>
      </c>
      <c r="J17" s="38" t="s">
        <v>140</v>
      </c>
      <c r="K17" s="24" t="s">
        <v>24</v>
      </c>
      <c r="L17" s="39" t="s">
        <v>141</v>
      </c>
    </row>
    <row r="18" spans="1:12" ht="94.5" customHeight="1">
      <c r="A18" s="41">
        <v>16</v>
      </c>
      <c r="B18" s="42" t="s">
        <v>142</v>
      </c>
      <c r="C18" s="43" t="s">
        <v>143</v>
      </c>
      <c r="D18" s="43" t="s">
        <v>144</v>
      </c>
      <c r="E18" s="43" t="s">
        <v>145</v>
      </c>
      <c r="F18" s="40" t="s">
        <v>136</v>
      </c>
      <c r="G18" s="43" t="s">
        <v>146</v>
      </c>
      <c r="H18" s="43" t="s">
        <v>147</v>
      </c>
      <c r="I18" s="43" t="s">
        <v>148</v>
      </c>
      <c r="J18" s="44" t="s">
        <v>149</v>
      </c>
      <c r="K18" s="15" t="s">
        <v>22</v>
      </c>
      <c r="L18" s="45"/>
    </row>
    <row r="19" spans="1:12" ht="94.5" customHeight="1">
      <c r="A19" s="41">
        <v>17</v>
      </c>
      <c r="B19" s="42" t="s">
        <v>150</v>
      </c>
      <c r="C19" s="43" t="s">
        <v>151</v>
      </c>
      <c r="D19" s="43" t="s">
        <v>144</v>
      </c>
      <c r="E19" s="43" t="s">
        <v>145</v>
      </c>
      <c r="F19" s="40" t="s">
        <v>136</v>
      </c>
      <c r="G19" s="43" t="s">
        <v>152</v>
      </c>
      <c r="H19" s="43" t="s">
        <v>153</v>
      </c>
      <c r="I19" s="43" t="s">
        <v>154</v>
      </c>
      <c r="J19" s="44" t="s">
        <v>155</v>
      </c>
      <c r="K19" s="15" t="s">
        <v>22</v>
      </c>
      <c r="L19" s="45"/>
    </row>
    <row r="20" spans="1:12" ht="94.5" customHeight="1">
      <c r="A20" s="46">
        <v>18</v>
      </c>
      <c r="B20" s="47" t="s">
        <v>156</v>
      </c>
      <c r="C20" s="48" t="s">
        <v>157</v>
      </c>
      <c r="D20" s="48" t="s">
        <v>158</v>
      </c>
      <c r="E20" s="48" t="s">
        <v>145</v>
      </c>
      <c r="F20" s="40" t="s">
        <v>136</v>
      </c>
      <c r="G20" s="48" t="s">
        <v>159</v>
      </c>
      <c r="H20" s="48" t="s">
        <v>160</v>
      </c>
      <c r="I20" s="48" t="s">
        <v>161</v>
      </c>
      <c r="J20" s="49" t="s">
        <v>162</v>
      </c>
      <c r="K20" s="18" t="s">
        <v>26</v>
      </c>
      <c r="L20" s="50" t="s">
        <v>163</v>
      </c>
    </row>
    <row r="21" spans="1:12" ht="94.5" customHeight="1">
      <c r="A21" s="51">
        <v>19</v>
      </c>
      <c r="B21" s="52" t="s">
        <v>164</v>
      </c>
      <c r="C21" s="53" t="s">
        <v>165</v>
      </c>
      <c r="D21" s="53" t="s">
        <v>166</v>
      </c>
      <c r="E21" s="53" t="s">
        <v>145</v>
      </c>
      <c r="F21" s="17" t="s">
        <v>55</v>
      </c>
      <c r="G21" s="53" t="s">
        <v>167</v>
      </c>
      <c r="H21" s="53" t="s">
        <v>168</v>
      </c>
      <c r="I21" s="53" t="s">
        <v>169</v>
      </c>
      <c r="J21" s="54" t="s">
        <v>170</v>
      </c>
      <c r="K21" s="15" t="s">
        <v>22</v>
      </c>
      <c r="L21" s="55"/>
    </row>
    <row r="22" spans="1:12" ht="94.5" customHeight="1">
      <c r="A22" s="56">
        <v>20</v>
      </c>
      <c r="B22" s="57" t="s">
        <v>171</v>
      </c>
      <c r="C22" s="58" t="s">
        <v>172</v>
      </c>
      <c r="D22" s="58" t="s">
        <v>173</v>
      </c>
      <c r="E22" s="58" t="s">
        <v>145</v>
      </c>
      <c r="F22" s="40" t="s">
        <v>136</v>
      </c>
      <c r="G22" s="58" t="s">
        <v>174</v>
      </c>
      <c r="H22" s="58" t="s">
        <v>175</v>
      </c>
      <c r="I22" s="58" t="s">
        <v>176</v>
      </c>
      <c r="J22" s="59" t="s">
        <v>177</v>
      </c>
      <c r="K22" s="15" t="s">
        <v>22</v>
      </c>
      <c r="L22" s="60"/>
    </row>
  </sheetData>
  <mergeCells count="1">
    <mergeCell ref="A1:L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showGridLines="0" zoomScaleNormal="100" workbookViewId="0">
      <selection sqref="A1:H3"/>
    </sheetView>
  </sheetViews>
  <sheetFormatPr defaultColWidth="8.7109375" defaultRowHeight="15"/>
  <cols>
    <col min="1" max="1" width="3" customWidth="1"/>
    <col min="2" max="2" width="26" customWidth="1"/>
    <col min="3" max="7" width="13" customWidth="1"/>
    <col min="8" max="8" width="15" customWidth="1"/>
  </cols>
  <sheetData>
    <row r="1" spans="1:8" ht="15.75" customHeight="1">
      <c r="A1" s="110" t="s">
        <v>178</v>
      </c>
      <c r="B1" s="110"/>
      <c r="C1" s="110"/>
      <c r="D1" s="110"/>
      <c r="E1" s="110"/>
      <c r="F1" s="110"/>
      <c r="G1" s="110"/>
      <c r="H1" s="110"/>
    </row>
    <row r="2" spans="1:8" ht="30" customHeight="1">
      <c r="A2" s="110"/>
      <c r="B2" s="110"/>
      <c r="C2" s="110"/>
      <c r="D2" s="110"/>
      <c r="E2" s="110"/>
      <c r="F2" s="110"/>
      <c r="G2" s="110"/>
      <c r="H2" s="110"/>
    </row>
    <row r="3" spans="1:8" ht="15.75" customHeight="1">
      <c r="A3" s="110"/>
      <c r="B3" s="110"/>
      <c r="C3" s="110"/>
      <c r="D3" s="110"/>
      <c r="E3" s="110"/>
      <c r="F3" s="110"/>
      <c r="G3" s="110"/>
      <c r="H3" s="110"/>
    </row>
    <row r="5" spans="1:8" ht="19.5" customHeight="1">
      <c r="C5" s="61" t="s">
        <v>179</v>
      </c>
      <c r="D5" s="62" t="s">
        <v>22</v>
      </c>
      <c r="E5" s="63" t="s">
        <v>24</v>
      </c>
      <c r="F5" s="64" t="s">
        <v>26</v>
      </c>
      <c r="G5" s="65" t="s">
        <v>28</v>
      </c>
      <c r="H5" s="9" t="s">
        <v>180</v>
      </c>
    </row>
    <row r="6" spans="1:8" ht="31.5" customHeight="1">
      <c r="B6" s="66" t="s">
        <v>181</v>
      </c>
      <c r="C6" s="67">
        <f>COUNTA('Test Cases'!B3:B1000)</f>
        <v>20</v>
      </c>
      <c r="D6" s="67">
        <f>COUNTIF('Test Cases'!K3:K1000,"✅ Pass")</f>
        <v>15</v>
      </c>
      <c r="E6" s="67">
        <f>COUNTIF('Test Cases'!K3:K1000,"❌ Fail")</f>
        <v>3</v>
      </c>
      <c r="F6" s="67">
        <f>COUNTIF('Test Cases'!K3:K1000,"⚠️ Observation")</f>
        <v>2</v>
      </c>
      <c r="G6" s="67">
        <f>COUNTIF('Test Cases'!K3:K1000,"⏭️ Skipped")</f>
        <v>0</v>
      </c>
      <c r="H6" s="68">
        <f>IF(C6&gt;0,D6/C6,0)</f>
        <v>0.75</v>
      </c>
    </row>
    <row r="9" spans="1:8" ht="19.5" customHeight="1">
      <c r="B9" s="9" t="s">
        <v>34</v>
      </c>
      <c r="C9" s="9" t="s">
        <v>182</v>
      </c>
      <c r="D9" s="9" t="s">
        <v>11</v>
      </c>
      <c r="E9" s="9" t="s">
        <v>13</v>
      </c>
      <c r="F9" s="9" t="s">
        <v>183</v>
      </c>
      <c r="G9" s="9" t="s">
        <v>184</v>
      </c>
      <c r="H9" s="9" t="s">
        <v>180</v>
      </c>
    </row>
    <row r="10" spans="1:8" ht="18" customHeight="1">
      <c r="B10" s="69" t="s">
        <v>45</v>
      </c>
      <c r="C10" s="70">
        <v>3</v>
      </c>
      <c r="D10" s="70">
        <v>2</v>
      </c>
      <c r="E10" s="70">
        <v>0</v>
      </c>
      <c r="F10" s="70">
        <v>1</v>
      </c>
      <c r="G10" s="70">
        <v>0</v>
      </c>
      <c r="H10" s="71">
        <f>IF(C10&gt;0,D10/C10,0)</f>
        <v>0.66666666666666663</v>
      </c>
    </row>
    <row r="11" spans="1:8" ht="18" customHeight="1">
      <c r="B11" s="72" t="s">
        <v>69</v>
      </c>
      <c r="C11" s="73">
        <v>6</v>
      </c>
      <c r="D11" s="73">
        <v>5</v>
      </c>
      <c r="E11" s="73">
        <v>1</v>
      </c>
      <c r="F11" s="73">
        <v>0</v>
      </c>
      <c r="G11" s="73">
        <v>0</v>
      </c>
      <c r="H11" s="74">
        <f>IF(C11&gt;0,D11/C11,0)</f>
        <v>0.83333333333333337</v>
      </c>
    </row>
    <row r="12" spans="1:8" ht="18" customHeight="1">
      <c r="B12" s="75" t="s">
        <v>109</v>
      </c>
      <c r="C12" s="76">
        <v>3</v>
      </c>
      <c r="D12" s="76">
        <v>3</v>
      </c>
      <c r="E12" s="76">
        <v>0</v>
      </c>
      <c r="F12" s="76">
        <v>0</v>
      </c>
      <c r="G12" s="76">
        <v>0</v>
      </c>
      <c r="H12" s="77">
        <f>IF(C12&gt;0,D12/C12,0)</f>
        <v>1</v>
      </c>
    </row>
    <row r="13" spans="1:8" ht="18" customHeight="1">
      <c r="B13" s="78" t="s">
        <v>129</v>
      </c>
      <c r="C13" s="79">
        <v>2</v>
      </c>
      <c r="D13" s="79">
        <v>1</v>
      </c>
      <c r="E13" s="79">
        <v>1</v>
      </c>
      <c r="F13" s="79">
        <v>0</v>
      </c>
      <c r="G13" s="79">
        <v>0</v>
      </c>
      <c r="H13" s="80">
        <f>IF(C13&gt;0,D13/C13,0)</f>
        <v>0.5</v>
      </c>
    </row>
    <row r="14" spans="1:8" ht="18" customHeight="1">
      <c r="B14" s="81" t="s">
        <v>144</v>
      </c>
      <c r="C14" s="82">
        <v>2</v>
      </c>
      <c r="D14" s="82">
        <v>2</v>
      </c>
      <c r="E14" s="82">
        <v>0</v>
      </c>
      <c r="F14" s="82">
        <v>0</v>
      </c>
      <c r="G14" s="82">
        <v>0</v>
      </c>
      <c r="H14" s="83">
        <f>IF(C14&gt;0,D14/C14,0)</f>
        <v>1</v>
      </c>
    </row>
    <row r="15" spans="1:8" ht="18" customHeight="1">
      <c r="B15" s="69" t="s">
        <v>158</v>
      </c>
      <c r="C15" s="70">
        <v>1</v>
      </c>
      <c r="D15" s="70">
        <v>0</v>
      </c>
      <c r="E15" s="70">
        <v>0</v>
      </c>
      <c r="F15" s="70">
        <v>1</v>
      </c>
      <c r="G15" s="70">
        <v>0</v>
      </c>
      <c r="H15" s="71">
        <f>IF(C15&gt;0,D15/C15,0)</f>
        <v>0</v>
      </c>
    </row>
    <row r="16" spans="1:8" ht="18" customHeight="1">
      <c r="B16" s="84" t="s">
        <v>121</v>
      </c>
      <c r="C16" s="85">
        <v>1</v>
      </c>
      <c r="D16" s="85">
        <v>0</v>
      </c>
      <c r="E16" s="85">
        <v>1</v>
      </c>
      <c r="F16" s="85">
        <v>0</v>
      </c>
      <c r="G16" s="85">
        <v>0</v>
      </c>
      <c r="H16" s="86">
        <f>IF(C16&gt;0,D16/C16,0)</f>
        <v>0</v>
      </c>
    </row>
    <row r="17" spans="2:8" ht="18" customHeight="1">
      <c r="B17" s="87" t="s">
        <v>166</v>
      </c>
      <c r="C17" s="88">
        <v>1</v>
      </c>
      <c r="D17" s="88">
        <v>1</v>
      </c>
      <c r="E17" s="88">
        <v>0</v>
      </c>
      <c r="F17" s="88">
        <v>0</v>
      </c>
      <c r="G17" s="88">
        <v>0</v>
      </c>
      <c r="H17" s="89">
        <f>IF(C17&gt;0,D17/C17,0)</f>
        <v>1</v>
      </c>
    </row>
    <row r="18" spans="2:8" ht="18" customHeight="1">
      <c r="B18" s="90" t="s">
        <v>173</v>
      </c>
      <c r="C18" s="91">
        <v>1</v>
      </c>
      <c r="D18" s="91">
        <v>1</v>
      </c>
      <c r="E18" s="91">
        <v>0</v>
      </c>
      <c r="F18" s="91">
        <v>0</v>
      </c>
      <c r="G18" s="91">
        <v>0</v>
      </c>
      <c r="H18" s="92">
        <f>IF(C18&gt;0,D18/C18,0)</f>
        <v>1</v>
      </c>
    </row>
    <row r="19" spans="2:8" ht="19.5" customHeight="1">
      <c r="B19" s="93" t="s">
        <v>185</v>
      </c>
      <c r="C19" s="93">
        <f>SUM(C10:C18)</f>
        <v>20</v>
      </c>
      <c r="D19" s="93">
        <f>SUM(D10:D18)</f>
        <v>15</v>
      </c>
      <c r="E19" s="93">
        <f>SUM(E10:E18)</f>
        <v>3</v>
      </c>
      <c r="F19" s="93">
        <f>SUM(F10:F18)</f>
        <v>2</v>
      </c>
      <c r="G19" s="93">
        <f>SUM(G10:G18)</f>
        <v>0</v>
      </c>
    </row>
  </sheetData>
  <mergeCells count="1">
    <mergeCell ref="A1:H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7109375" defaultRowHeight="15"/>
  <cols>
    <col min="1" max="1" width="5" customWidth="1"/>
    <col min="2" max="2" width="14" customWidth="1"/>
    <col min="3" max="3" width="32" customWidth="1"/>
    <col min="4" max="4" width="14" customWidth="1"/>
    <col min="5" max="6" width="12" customWidth="1"/>
    <col min="7" max="7" width="28" customWidth="1"/>
    <col min="8" max="9" width="30" customWidth="1"/>
    <col min="10" max="11" width="16" customWidth="1"/>
  </cols>
  <sheetData>
    <row r="1" spans="1:11" ht="24" customHeight="1">
      <c r="A1" s="111" t="s">
        <v>186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ht="19.5" customHeight="1">
      <c r="A2" s="9" t="s">
        <v>31</v>
      </c>
      <c r="B2" s="9" t="s">
        <v>187</v>
      </c>
      <c r="C2" s="9" t="s">
        <v>188</v>
      </c>
      <c r="D2" s="9" t="s">
        <v>34</v>
      </c>
      <c r="E2" s="9" t="s">
        <v>189</v>
      </c>
      <c r="F2" s="9" t="s">
        <v>190</v>
      </c>
      <c r="G2" s="9" t="s">
        <v>191</v>
      </c>
      <c r="H2" s="9" t="s">
        <v>192</v>
      </c>
      <c r="I2" s="9" t="s">
        <v>193</v>
      </c>
      <c r="J2" s="9" t="s">
        <v>194</v>
      </c>
      <c r="K2" s="9" t="s">
        <v>195</v>
      </c>
    </row>
    <row r="3" spans="1:11" ht="84.75" customHeight="1">
      <c r="A3" s="94">
        <v>1</v>
      </c>
      <c r="B3" s="95" t="s">
        <v>196</v>
      </c>
      <c r="C3" s="96" t="s">
        <v>197</v>
      </c>
      <c r="D3" s="96" t="s">
        <v>166</v>
      </c>
      <c r="E3" s="17" t="s">
        <v>198</v>
      </c>
      <c r="F3" s="96" t="s">
        <v>85</v>
      </c>
      <c r="G3" s="96" t="s">
        <v>199</v>
      </c>
      <c r="H3" s="96" t="s">
        <v>200</v>
      </c>
      <c r="I3" s="96" t="s">
        <v>8</v>
      </c>
      <c r="J3" s="24" t="s">
        <v>201</v>
      </c>
      <c r="K3" s="97" t="s">
        <v>202</v>
      </c>
    </row>
    <row r="4" spans="1:11" ht="84.75" customHeight="1">
      <c r="A4" s="98">
        <v>2</v>
      </c>
      <c r="B4" s="99" t="s">
        <v>203</v>
      </c>
      <c r="C4" s="100" t="s">
        <v>204</v>
      </c>
      <c r="D4" s="100" t="s">
        <v>121</v>
      </c>
      <c r="E4" s="40" t="s">
        <v>205</v>
      </c>
      <c r="F4" s="100" t="s">
        <v>119</v>
      </c>
      <c r="G4" s="100" t="s">
        <v>206</v>
      </c>
      <c r="H4" s="100" t="s">
        <v>207</v>
      </c>
      <c r="I4" s="100" t="s">
        <v>8</v>
      </c>
      <c r="J4" s="24" t="s">
        <v>201</v>
      </c>
      <c r="K4" s="101" t="s">
        <v>208</v>
      </c>
    </row>
    <row r="5" spans="1:11" ht="84.75" customHeight="1">
      <c r="A5" s="94">
        <v>3</v>
      </c>
      <c r="B5" s="95" t="s">
        <v>209</v>
      </c>
      <c r="C5" s="96" t="s">
        <v>210</v>
      </c>
      <c r="D5" s="96" t="s">
        <v>129</v>
      </c>
      <c r="E5" s="17" t="s">
        <v>198</v>
      </c>
      <c r="F5" s="96" t="s">
        <v>134</v>
      </c>
      <c r="G5" s="96" t="s">
        <v>211</v>
      </c>
      <c r="H5" s="96" t="s">
        <v>212</v>
      </c>
      <c r="I5" s="96" t="s">
        <v>213</v>
      </c>
      <c r="J5" s="24" t="s">
        <v>201</v>
      </c>
      <c r="K5" s="97" t="s">
        <v>214</v>
      </c>
    </row>
    <row r="6" spans="1:11" ht="84.75" customHeight="1">
      <c r="A6" s="98">
        <v>4</v>
      </c>
      <c r="B6" s="99" t="s">
        <v>215</v>
      </c>
      <c r="C6" s="100" t="s">
        <v>216</v>
      </c>
      <c r="D6" s="100" t="s">
        <v>158</v>
      </c>
      <c r="E6" s="102" t="s">
        <v>217</v>
      </c>
      <c r="F6" s="100" t="s">
        <v>156</v>
      </c>
      <c r="G6" s="100" t="s">
        <v>218</v>
      </c>
      <c r="H6" s="100" t="s">
        <v>219</v>
      </c>
      <c r="I6" s="100" t="s">
        <v>220</v>
      </c>
      <c r="J6" s="24" t="s">
        <v>201</v>
      </c>
      <c r="K6" s="101" t="s">
        <v>221</v>
      </c>
    </row>
    <row r="7" spans="1:11" ht="84.75" customHeight="1">
      <c r="A7" s="10">
        <v>5</v>
      </c>
      <c r="B7" s="103" t="s">
        <v>222</v>
      </c>
      <c r="C7" s="12" t="s">
        <v>223</v>
      </c>
      <c r="D7" s="12" t="s">
        <v>109</v>
      </c>
      <c r="E7" s="102" t="s">
        <v>217</v>
      </c>
      <c r="F7" s="12" t="s">
        <v>60</v>
      </c>
      <c r="G7" s="12" t="s">
        <v>224</v>
      </c>
      <c r="H7" s="12" t="s">
        <v>225</v>
      </c>
      <c r="I7" s="12" t="s">
        <v>8</v>
      </c>
      <c r="J7" s="24" t="s">
        <v>201</v>
      </c>
      <c r="K7" s="16" t="s">
        <v>226</v>
      </c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8"/>
  <sheetViews>
    <sheetView showGridLines="0" tabSelected="1" topLeftCell="A3" zoomScaleNormal="100" workbookViewId="0">
      <selection activeCell="C7" sqref="B7:C8"/>
    </sheetView>
  </sheetViews>
  <sheetFormatPr defaultColWidth="8.7109375" defaultRowHeight="15"/>
  <cols>
    <col min="1" max="1" width="4" customWidth="1"/>
    <col min="2" max="2" width="80" customWidth="1"/>
  </cols>
  <sheetData>
    <row r="1" spans="1:2" ht="13.5" customHeight="1">
      <c r="A1" s="112" t="s">
        <v>227</v>
      </c>
      <c r="B1" s="112"/>
    </row>
    <row r="2" spans="1:2" ht="21.75" customHeight="1">
      <c r="A2" s="112"/>
      <c r="B2" s="112"/>
    </row>
    <row r="4" spans="1:2" ht="15.75" customHeight="1">
      <c r="B4" s="104" t="s">
        <v>228</v>
      </c>
    </row>
    <row r="5" spans="1:2" ht="39.75" customHeight="1">
      <c r="B5" s="105" t="s">
        <v>229</v>
      </c>
    </row>
    <row r="8" spans="1:2" ht="15.75" customHeight="1">
      <c r="B8" s="104" t="s">
        <v>230</v>
      </c>
    </row>
    <row r="9" spans="1:2" ht="39.75" customHeight="1">
      <c r="B9" s="105" t="s">
        <v>231</v>
      </c>
    </row>
    <row r="11" spans="1:2" ht="15.75" customHeight="1">
      <c r="B11" s="104" t="s">
        <v>232</v>
      </c>
    </row>
    <row r="12" spans="1:2" ht="79.5" customHeight="1">
      <c r="B12" s="105" t="s">
        <v>233</v>
      </c>
    </row>
    <row r="14" spans="1:2" ht="15.75" customHeight="1">
      <c r="B14" s="104" t="s">
        <v>234</v>
      </c>
    </row>
    <row r="15" spans="1:2" ht="79.5" customHeight="1">
      <c r="B15" s="105" t="s">
        <v>235</v>
      </c>
    </row>
    <row r="17" spans="2:2" ht="15.75" customHeight="1">
      <c r="B17" s="104" t="s">
        <v>236</v>
      </c>
    </row>
    <row r="18" spans="2:2" ht="63.75" customHeight="1">
      <c r="B18" s="105" t="s">
        <v>237</v>
      </c>
    </row>
  </sheetData>
  <mergeCells count="1">
    <mergeCell ref="A1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>0</cp:revision>
  <dcterms:created xsi:type="dcterms:W3CDTF">2026-04-19T21:27:49Z</dcterms:created>
  <dcterms:modified xsi:type="dcterms:W3CDTF">2026-04-22T11:50:07Z</dcterms:modified>
  <cp:category/>
  <cp:contentStatus/>
</cp:coreProperties>
</file>